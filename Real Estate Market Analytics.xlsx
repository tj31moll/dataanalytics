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sla\Documents\"/>
    </mc:Choice>
  </mc:AlternateContent>
  <bookViews>
    <workbookView xWindow="0" yWindow="0" windowWidth="23040" windowHeight="92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6" i="1"/>
  <c r="E7" i="1"/>
  <c r="C7" i="1" s="1"/>
  <c r="E8" i="1"/>
  <c r="C8" i="1" s="1"/>
  <c r="E9" i="1"/>
  <c r="E10" i="1"/>
  <c r="C10" i="1" s="1"/>
  <c r="E11" i="1"/>
  <c r="C11" i="1" s="1"/>
  <c r="E12" i="1"/>
  <c r="C12" i="1" s="1"/>
  <c r="E13" i="1"/>
  <c r="E14" i="1"/>
  <c r="C14" i="1" s="1"/>
  <c r="E15" i="1"/>
  <c r="C15" i="1" s="1"/>
  <c r="E16" i="1"/>
  <c r="C16" i="1" s="1"/>
  <c r="E17" i="1"/>
  <c r="E18" i="1"/>
  <c r="E19" i="1"/>
  <c r="C19" i="1" s="1"/>
  <c r="E20" i="1"/>
  <c r="C20" i="1" s="1"/>
  <c r="E21" i="1"/>
  <c r="E22" i="1"/>
  <c r="C22" i="1" s="1"/>
  <c r="E4" i="1"/>
  <c r="C4" i="1" s="1"/>
  <c r="C6" i="1"/>
  <c r="C9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4" i="1"/>
  <c r="C5" i="1"/>
  <c r="C13" i="1"/>
  <c r="C18" i="1"/>
  <c r="C17" i="1"/>
  <c r="C21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4" i="1"/>
  <c r="D6" i="1"/>
  <c r="D7" i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5" i="1"/>
  <c r="A20" i="1" l="1"/>
  <c r="B20" i="1" s="1"/>
  <c r="I20" i="1" s="1"/>
  <c r="A12" i="1"/>
  <c r="B12" i="1" s="1"/>
  <c r="I12" i="1" s="1"/>
  <c r="A8" i="1"/>
  <c r="B8" i="1" s="1"/>
  <c r="I8" i="1" s="1"/>
  <c r="A11" i="1"/>
  <c r="B11" i="1" s="1"/>
  <c r="I11" i="1" s="1"/>
  <c r="A7" i="1"/>
  <c r="B7" i="1" s="1"/>
  <c r="I7" i="1" s="1"/>
  <c r="A22" i="1"/>
  <c r="B22" i="1" s="1"/>
  <c r="I22" i="1" s="1"/>
  <c r="A10" i="1"/>
  <c r="B10" i="1" s="1"/>
  <c r="I10" i="1" s="1"/>
  <c r="A16" i="1"/>
  <c r="B16" i="1" s="1"/>
  <c r="I16" i="1" s="1"/>
  <c r="A19" i="1"/>
  <c r="B19" i="1" s="1"/>
  <c r="I19" i="1" s="1"/>
  <c r="A15" i="1"/>
  <c r="B15" i="1" s="1"/>
  <c r="I15" i="1" s="1"/>
  <c r="A4" i="1"/>
  <c r="A18" i="1"/>
  <c r="B18" i="1" s="1"/>
  <c r="I18" i="1" s="1"/>
  <c r="A14" i="1"/>
  <c r="B14" i="1" s="1"/>
  <c r="I14" i="1" s="1"/>
  <c r="A6" i="1"/>
  <c r="B6" i="1" s="1"/>
  <c r="I6" i="1" s="1"/>
  <c r="A21" i="1"/>
  <c r="B21" i="1" s="1"/>
  <c r="I21" i="1" s="1"/>
  <c r="A17" i="1"/>
  <c r="B17" i="1" s="1"/>
  <c r="I17" i="1" s="1"/>
  <c r="A13" i="1"/>
  <c r="B13" i="1" s="1"/>
  <c r="I13" i="1" s="1"/>
  <c r="A9" i="1"/>
  <c r="B9" i="1" s="1"/>
  <c r="I9" i="1" s="1"/>
  <c r="A5" i="1"/>
  <c r="B5" i="1" s="1"/>
  <c r="I5" i="1" s="1"/>
  <c r="B4" i="1" l="1"/>
  <c r="I4" i="1" l="1"/>
</calcChain>
</file>

<file path=xl/sharedStrings.xml><?xml version="1.0" encoding="utf-8"?>
<sst xmlns="http://schemas.openxmlformats.org/spreadsheetml/2006/main" count="17" uniqueCount="16">
  <si>
    <t>Example Data Set</t>
  </si>
  <si>
    <t>NOI</t>
  </si>
  <si>
    <t>Income</t>
  </si>
  <si>
    <t>Vacancy %</t>
  </si>
  <si>
    <t>Expenses</t>
  </si>
  <si>
    <t>Mgmt Fee</t>
  </si>
  <si>
    <t>to</t>
  </si>
  <si>
    <t>Typical Cap Rate for Manhattan is</t>
  </si>
  <si>
    <t>Cap Rate (Random)</t>
  </si>
  <si>
    <t>Proprty Sale Value (Raw)</t>
  </si>
  <si>
    <t>Implied Cap Rate</t>
  </si>
  <si>
    <t>Limited Data Set</t>
  </si>
  <si>
    <t>Formulas based upon market data and</t>
  </si>
  <si>
    <t>property fundamentals</t>
  </si>
  <si>
    <t>Typical Cap Rate for Vacancy % is</t>
  </si>
  <si>
    <t>Chart shows with a limited data set provided, utilzing market research and exerience, data can be extrapolated to preesnet a clearer picture.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</si>
</sst>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10" fontId="0" fillId="0" borderId="0" xfId="2" applyNumberFormat="1" applyFont="1"/>
    <xf numFmtId="44" fontId="0" fillId="0" borderId="0" xfId="0" applyNumberFormat="1"/>
    <xf numFmtId="10" fontId="0" fillId="3" borderId="0" xfId="2" applyNumberFormat="1" applyFont="1" applyFill="1"/>
    <xf numFmtId="44" fontId="0" fillId="2" borderId="0" xfId="1" applyFont="1" applyFill="1"/>
    <xf numFmtId="9" fontId="0" fillId="2" borderId="0" xfId="0" applyNumberFormat="1" applyFill="1"/>
    <xf numFmtId="44" fontId="0" fillId="3" borderId="0" xfId="1" applyFont="1" applyFill="1"/>
    <xf numFmtId="44" fontId="0" fillId="3" borderId="0" xfId="0" applyNumberFormat="1" applyFill="1"/>
    <xf numFmtId="9" fontId="0" fillId="2" borderId="0" xfId="0" applyNumberFormat="1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abSelected="1" zoomScaleNormal="100" workbookViewId="0">
      <selection activeCell="A24" sqref="A24:I24"/>
    </sheetView>
  </sheetViews>
  <sheetFormatPr defaultRowHeight="15" x14ac:dyDescent="0.25"/>
  <cols>
    <col min="1" max="1" width="17.5703125" bestFit="1" customWidth="1"/>
    <col min="2" max="2" width="17.5703125" customWidth="1"/>
    <col min="3" max="4" width="12.5703125" bestFit="1" customWidth="1"/>
    <col min="5" max="5" width="10.140625" bestFit="1" customWidth="1"/>
    <col min="6" max="6" width="12.5703125" bestFit="1" customWidth="1"/>
    <col min="7" max="7" width="11.5703125" bestFit="1" customWidth="1"/>
    <col min="8" max="8" width="18.140625" bestFit="1" customWidth="1"/>
    <col min="9" max="9" width="16.140625" bestFit="1" customWidth="1"/>
    <col min="13" max="13" width="4.140625" customWidth="1"/>
  </cols>
  <sheetData>
    <row r="1" spans="1:17" x14ac:dyDescent="0.25">
      <c r="A1" t="s">
        <v>0</v>
      </c>
      <c r="J1" t="s">
        <v>7</v>
      </c>
      <c r="N1" s="10">
        <v>0.04</v>
      </c>
      <c r="O1" s="2" t="s">
        <v>6</v>
      </c>
      <c r="P1" s="10">
        <v>0.06</v>
      </c>
    </row>
    <row r="2" spans="1:17" x14ac:dyDescent="0.25">
      <c r="J2" t="s">
        <v>14</v>
      </c>
      <c r="N2" s="10">
        <v>0.03</v>
      </c>
      <c r="O2" s="2" t="s">
        <v>6</v>
      </c>
      <c r="P2" s="10">
        <v>0.05</v>
      </c>
    </row>
    <row r="3" spans="1:17" x14ac:dyDescent="0.25">
      <c r="A3" t="s">
        <v>9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8</v>
      </c>
      <c r="I3" t="s">
        <v>10</v>
      </c>
    </row>
    <row r="4" spans="1:17" x14ac:dyDescent="0.25">
      <c r="A4" s="9">
        <f ca="1">C4/H4</f>
        <v>846666.66666666674</v>
      </c>
      <c r="B4" s="9">
        <f ca="1">ROUNDDOWN(A4/5000,0)*5000</f>
        <v>845000</v>
      </c>
      <c r="C4" s="8">
        <f ca="1">D4-(D4*E4)-F4+5%*(1-E4)*D4</f>
        <v>50800</v>
      </c>
      <c r="D4" s="6">
        <v>100000</v>
      </c>
      <c r="E4" s="7">
        <f ca="1">RANDBETWEEN($N$2*100,$P$2*100)/100</f>
        <v>0.04</v>
      </c>
      <c r="F4" s="8">
        <f>D4/2</f>
        <v>50000</v>
      </c>
      <c r="G4" s="8">
        <f>D4*0.05</f>
        <v>5000</v>
      </c>
      <c r="H4" s="5">
        <f ca="1">RANDBETWEEN($N$1*100,$P$1*100)/100</f>
        <v>0.06</v>
      </c>
      <c r="I4" s="5">
        <f ca="1">C4/B4</f>
        <v>6.0118343195266273E-2</v>
      </c>
      <c r="N4" s="1"/>
      <c r="O4" t="s">
        <v>11</v>
      </c>
    </row>
    <row r="5" spans="1:17" x14ac:dyDescent="0.25">
      <c r="A5" s="9">
        <f t="shared" ref="A5:A22" ca="1" si="0">C5/H5</f>
        <v>1587500</v>
      </c>
      <c r="B5" s="9">
        <f t="shared" ref="B5:B22" ca="1" si="1">ROUNDDOWN(A5/5000,0)*5000</f>
        <v>1585000</v>
      </c>
      <c r="C5" s="8">
        <f t="shared" ref="C5:C22" ca="1" si="2">D5-(D5*E5)-F5+5%*(1-E5)*D5</f>
        <v>63500</v>
      </c>
      <c r="D5" s="6">
        <f>+D4+25000</f>
        <v>125000</v>
      </c>
      <c r="E5" s="7">
        <f t="shared" ref="E5:E22" ca="1" si="3">RANDBETWEEN($N$2*100,$P$2*100)/100</f>
        <v>0.04</v>
      </c>
      <c r="F5" s="8">
        <f t="shared" ref="F5:F22" si="4">D5/2</f>
        <v>62500</v>
      </c>
      <c r="G5" s="8">
        <f t="shared" ref="G5:G22" si="5">D5*0.05</f>
        <v>6250</v>
      </c>
      <c r="H5" s="5">
        <f t="shared" ref="H5:H22" ca="1" si="6">RANDBETWEEN($N$1*100,$P$1*100)/100</f>
        <v>0.04</v>
      </c>
      <c r="I5" s="5">
        <f t="shared" ref="I5:I22" ca="1" si="7">C5/B5</f>
        <v>4.0063091482649839E-2</v>
      </c>
    </row>
    <row r="6" spans="1:17" x14ac:dyDescent="0.25">
      <c r="A6" s="9">
        <f t="shared" ca="1" si="0"/>
        <v>1492500</v>
      </c>
      <c r="B6" s="9">
        <f t="shared" ca="1" si="1"/>
        <v>1490000</v>
      </c>
      <c r="C6" s="8">
        <f t="shared" ca="1" si="2"/>
        <v>74625</v>
      </c>
      <c r="D6" s="6">
        <f t="shared" ref="D6:D22" si="8">+D5+25000</f>
        <v>150000</v>
      </c>
      <c r="E6" s="7">
        <f t="shared" ca="1" si="3"/>
        <v>0.05</v>
      </c>
      <c r="F6" s="8">
        <f t="shared" si="4"/>
        <v>75000</v>
      </c>
      <c r="G6" s="8">
        <f t="shared" si="5"/>
        <v>7500</v>
      </c>
      <c r="H6" s="5">
        <f t="shared" ca="1" si="6"/>
        <v>0.05</v>
      </c>
      <c r="I6" s="5">
        <f t="shared" ca="1" si="7"/>
        <v>5.0083892617449666E-2</v>
      </c>
      <c r="N6" s="11"/>
      <c r="O6" t="s">
        <v>12</v>
      </c>
    </row>
    <row r="7" spans="1:17" x14ac:dyDescent="0.25">
      <c r="A7" s="9">
        <f t="shared" ca="1" si="0"/>
        <v>1741250</v>
      </c>
      <c r="B7" s="9">
        <f t="shared" ca="1" si="1"/>
        <v>1740000</v>
      </c>
      <c r="C7" s="8">
        <f t="shared" ca="1" si="2"/>
        <v>87062.5</v>
      </c>
      <c r="D7" s="6">
        <f t="shared" si="8"/>
        <v>175000</v>
      </c>
      <c r="E7" s="7">
        <f t="shared" ca="1" si="3"/>
        <v>0.05</v>
      </c>
      <c r="F7" s="8">
        <f t="shared" si="4"/>
        <v>87500</v>
      </c>
      <c r="G7" s="8">
        <f t="shared" si="5"/>
        <v>8750</v>
      </c>
      <c r="H7" s="5">
        <f t="shared" ca="1" si="6"/>
        <v>0.05</v>
      </c>
      <c r="I7" s="5">
        <f t="shared" ca="1" si="7"/>
        <v>5.0035919540229887E-2</v>
      </c>
      <c r="O7" t="s">
        <v>13</v>
      </c>
    </row>
    <row r="8" spans="1:17" x14ac:dyDescent="0.25">
      <c r="A8" s="9">
        <f t="shared" ca="1" si="0"/>
        <v>2540000</v>
      </c>
      <c r="B8" s="9">
        <f t="shared" ca="1" si="1"/>
        <v>2540000</v>
      </c>
      <c r="C8" s="8">
        <f t="shared" ca="1" si="2"/>
        <v>101600</v>
      </c>
      <c r="D8" s="6">
        <f t="shared" si="8"/>
        <v>200000</v>
      </c>
      <c r="E8" s="7">
        <f t="shared" ca="1" si="3"/>
        <v>0.04</v>
      </c>
      <c r="F8" s="8">
        <f t="shared" si="4"/>
        <v>100000</v>
      </c>
      <c r="G8" s="8">
        <f t="shared" si="5"/>
        <v>10000</v>
      </c>
      <c r="H8" s="5">
        <f t="shared" ca="1" si="6"/>
        <v>0.04</v>
      </c>
      <c r="I8" s="5">
        <f t="shared" ca="1" si="7"/>
        <v>0.04</v>
      </c>
      <c r="N8" s="12" t="s">
        <v>15</v>
      </c>
      <c r="O8" s="12"/>
      <c r="P8" s="12"/>
      <c r="Q8" s="12"/>
    </row>
    <row r="9" spans="1:17" x14ac:dyDescent="0.25">
      <c r="A9" s="9">
        <f t="shared" ca="1" si="0"/>
        <v>2857500</v>
      </c>
      <c r="B9" s="9">
        <f t="shared" ca="1" si="1"/>
        <v>2855000</v>
      </c>
      <c r="C9" s="8">
        <f t="shared" ca="1" si="2"/>
        <v>114300</v>
      </c>
      <c r="D9" s="6">
        <f t="shared" si="8"/>
        <v>225000</v>
      </c>
      <c r="E9" s="7">
        <f t="shared" ca="1" si="3"/>
        <v>0.04</v>
      </c>
      <c r="F9" s="8">
        <f t="shared" si="4"/>
        <v>112500</v>
      </c>
      <c r="G9" s="8">
        <f t="shared" si="5"/>
        <v>11250</v>
      </c>
      <c r="H9" s="5">
        <f t="shared" ca="1" si="6"/>
        <v>0.04</v>
      </c>
      <c r="I9" s="5">
        <f t="shared" ca="1" si="7"/>
        <v>4.0035026269702276E-2</v>
      </c>
      <c r="N9" s="12"/>
      <c r="O9" s="12"/>
      <c r="P9" s="12"/>
      <c r="Q9" s="12"/>
    </row>
    <row r="10" spans="1:17" x14ac:dyDescent="0.25">
      <c r="A10" s="9">
        <f t="shared" ca="1" si="0"/>
        <v>2160416.666666667</v>
      </c>
      <c r="B10" s="9">
        <f t="shared" ca="1" si="1"/>
        <v>2160000</v>
      </c>
      <c r="C10" s="8">
        <f t="shared" ca="1" si="2"/>
        <v>129625</v>
      </c>
      <c r="D10" s="6">
        <f t="shared" si="8"/>
        <v>250000</v>
      </c>
      <c r="E10" s="7">
        <f t="shared" ca="1" si="3"/>
        <v>0.03</v>
      </c>
      <c r="F10" s="8">
        <f t="shared" si="4"/>
        <v>125000</v>
      </c>
      <c r="G10" s="8">
        <f t="shared" si="5"/>
        <v>12500</v>
      </c>
      <c r="H10" s="5">
        <f t="shared" ca="1" si="6"/>
        <v>0.06</v>
      </c>
      <c r="I10" s="5">
        <f t="shared" ca="1" si="7"/>
        <v>6.0011574074074071E-2</v>
      </c>
      <c r="N10" s="12"/>
      <c r="O10" s="12"/>
      <c r="P10" s="12"/>
      <c r="Q10" s="12"/>
    </row>
    <row r="11" spans="1:17" x14ac:dyDescent="0.25">
      <c r="A11" s="9">
        <f t="shared" ca="1" si="0"/>
        <v>3492500</v>
      </c>
      <c r="B11" s="9">
        <f t="shared" ca="1" si="1"/>
        <v>3490000</v>
      </c>
      <c r="C11" s="8">
        <f t="shared" ca="1" si="2"/>
        <v>139700</v>
      </c>
      <c r="D11" s="6">
        <f t="shared" si="8"/>
        <v>275000</v>
      </c>
      <c r="E11" s="7">
        <f t="shared" ca="1" si="3"/>
        <v>0.04</v>
      </c>
      <c r="F11" s="8">
        <f t="shared" si="4"/>
        <v>137500</v>
      </c>
      <c r="G11" s="8">
        <f t="shared" si="5"/>
        <v>13750</v>
      </c>
      <c r="H11" s="5">
        <f t="shared" ca="1" si="6"/>
        <v>0.04</v>
      </c>
      <c r="I11" s="5">
        <f t="shared" ca="1" si="7"/>
        <v>4.0028653295128939E-2</v>
      </c>
      <c r="N11" s="12"/>
      <c r="O11" s="12"/>
      <c r="P11" s="12"/>
      <c r="Q11" s="12"/>
    </row>
    <row r="12" spans="1:17" x14ac:dyDescent="0.25">
      <c r="A12" s="9">
        <f t="shared" ca="1" si="0"/>
        <v>3810000</v>
      </c>
      <c r="B12" s="9">
        <f t="shared" ca="1" si="1"/>
        <v>3810000</v>
      </c>
      <c r="C12" s="8">
        <f t="shared" ca="1" si="2"/>
        <v>152400</v>
      </c>
      <c r="D12" s="6">
        <f t="shared" si="8"/>
        <v>300000</v>
      </c>
      <c r="E12" s="7">
        <f t="shared" ca="1" si="3"/>
        <v>0.04</v>
      </c>
      <c r="F12" s="8">
        <f t="shared" si="4"/>
        <v>150000</v>
      </c>
      <c r="G12" s="8">
        <f t="shared" si="5"/>
        <v>15000</v>
      </c>
      <c r="H12" s="5">
        <f t="shared" ca="1" si="6"/>
        <v>0.04</v>
      </c>
      <c r="I12" s="5">
        <f t="shared" ca="1" si="7"/>
        <v>0.04</v>
      </c>
      <c r="N12" s="12"/>
      <c r="O12" s="12"/>
      <c r="P12" s="12"/>
      <c r="Q12" s="12"/>
    </row>
    <row r="13" spans="1:17" x14ac:dyDescent="0.25">
      <c r="A13" s="9">
        <f t="shared" ca="1" si="0"/>
        <v>2751666.666666667</v>
      </c>
      <c r="B13" s="9">
        <f t="shared" ca="1" si="1"/>
        <v>2750000</v>
      </c>
      <c r="C13" s="8">
        <f t="shared" ca="1" si="2"/>
        <v>165100</v>
      </c>
      <c r="D13" s="6">
        <f t="shared" si="8"/>
        <v>325000</v>
      </c>
      <c r="E13" s="7">
        <f t="shared" ca="1" si="3"/>
        <v>0.04</v>
      </c>
      <c r="F13" s="8">
        <f t="shared" si="4"/>
        <v>162500</v>
      </c>
      <c r="G13" s="8">
        <f t="shared" si="5"/>
        <v>16250</v>
      </c>
      <c r="H13" s="5">
        <f t="shared" ca="1" si="6"/>
        <v>0.06</v>
      </c>
      <c r="I13" s="5">
        <f t="shared" ca="1" si="7"/>
        <v>6.0036363636363638E-2</v>
      </c>
      <c r="N13" s="12"/>
      <c r="O13" s="12"/>
      <c r="P13" s="12"/>
      <c r="Q13" s="12"/>
    </row>
    <row r="14" spans="1:17" x14ac:dyDescent="0.25">
      <c r="A14" s="9">
        <f t="shared" ca="1" si="0"/>
        <v>4353125</v>
      </c>
      <c r="B14" s="9">
        <f t="shared" ca="1" si="1"/>
        <v>4350000</v>
      </c>
      <c r="C14" s="8">
        <f t="shared" ca="1" si="2"/>
        <v>174125</v>
      </c>
      <c r="D14" s="6">
        <f t="shared" si="8"/>
        <v>350000</v>
      </c>
      <c r="E14" s="7">
        <f t="shared" ca="1" si="3"/>
        <v>0.05</v>
      </c>
      <c r="F14" s="8">
        <f t="shared" si="4"/>
        <v>175000</v>
      </c>
      <c r="G14" s="8">
        <f t="shared" si="5"/>
        <v>17500</v>
      </c>
      <c r="H14" s="5">
        <f t="shared" ca="1" si="6"/>
        <v>0.04</v>
      </c>
      <c r="I14" s="5">
        <f t="shared" ca="1" si="7"/>
        <v>4.0028735632183905E-2</v>
      </c>
      <c r="N14" s="13"/>
      <c r="O14" s="13"/>
      <c r="P14" s="13"/>
      <c r="Q14" s="13"/>
    </row>
    <row r="15" spans="1:17" x14ac:dyDescent="0.25">
      <c r="A15" s="9">
        <f t="shared" ca="1" si="0"/>
        <v>3240625</v>
      </c>
      <c r="B15" s="9">
        <f t="shared" ca="1" si="1"/>
        <v>3240000</v>
      </c>
      <c r="C15" s="8">
        <f t="shared" ca="1" si="2"/>
        <v>194437.5</v>
      </c>
      <c r="D15" s="6">
        <f t="shared" si="8"/>
        <v>375000</v>
      </c>
      <c r="E15" s="7">
        <f t="shared" ca="1" si="3"/>
        <v>0.03</v>
      </c>
      <c r="F15" s="8">
        <f t="shared" si="4"/>
        <v>187500</v>
      </c>
      <c r="G15" s="8">
        <f t="shared" si="5"/>
        <v>18750</v>
      </c>
      <c r="H15" s="5">
        <f t="shared" ca="1" si="6"/>
        <v>0.06</v>
      </c>
      <c r="I15" s="5">
        <f t="shared" ca="1" si="7"/>
        <v>6.0011574074074071E-2</v>
      </c>
    </row>
    <row r="16" spans="1:17" x14ac:dyDescent="0.25">
      <c r="A16" s="9">
        <f t="shared" ca="1" si="0"/>
        <v>4148000</v>
      </c>
      <c r="B16" s="9">
        <f t="shared" ca="1" si="1"/>
        <v>4145000</v>
      </c>
      <c r="C16" s="8">
        <f t="shared" ca="1" si="2"/>
        <v>207400</v>
      </c>
      <c r="D16" s="6">
        <f t="shared" si="8"/>
        <v>400000</v>
      </c>
      <c r="E16" s="7">
        <f t="shared" ca="1" si="3"/>
        <v>0.03</v>
      </c>
      <c r="F16" s="8">
        <f t="shared" si="4"/>
        <v>200000</v>
      </c>
      <c r="G16" s="8">
        <f t="shared" si="5"/>
        <v>20000</v>
      </c>
      <c r="H16" s="5">
        <f t="shared" ca="1" si="6"/>
        <v>0.05</v>
      </c>
      <c r="I16" s="5">
        <f t="shared" ca="1" si="7"/>
        <v>5.0036188178528347E-2</v>
      </c>
    </row>
    <row r="17" spans="1:9" x14ac:dyDescent="0.25">
      <c r="A17" s="9">
        <f t="shared" ca="1" si="0"/>
        <v>4318000</v>
      </c>
      <c r="B17" s="9">
        <f t="shared" ca="1" si="1"/>
        <v>4315000</v>
      </c>
      <c r="C17" s="8">
        <f t="shared" ca="1" si="2"/>
        <v>215900</v>
      </c>
      <c r="D17" s="6">
        <f t="shared" si="8"/>
        <v>425000</v>
      </c>
      <c r="E17" s="7">
        <f t="shared" ca="1" si="3"/>
        <v>0.04</v>
      </c>
      <c r="F17" s="8">
        <f t="shared" si="4"/>
        <v>212500</v>
      </c>
      <c r="G17" s="8">
        <f t="shared" si="5"/>
        <v>21250</v>
      </c>
      <c r="H17" s="5">
        <f t="shared" ca="1" si="6"/>
        <v>0.05</v>
      </c>
      <c r="I17" s="5">
        <f t="shared" ca="1" si="7"/>
        <v>5.0034762456546929E-2</v>
      </c>
    </row>
    <row r="18" spans="1:9" x14ac:dyDescent="0.25">
      <c r="A18" s="9">
        <f t="shared" ca="1" si="0"/>
        <v>3810000</v>
      </c>
      <c r="B18" s="9">
        <f t="shared" ca="1" si="1"/>
        <v>3810000</v>
      </c>
      <c r="C18" s="8">
        <f t="shared" ca="1" si="2"/>
        <v>228600</v>
      </c>
      <c r="D18" s="6">
        <f t="shared" si="8"/>
        <v>450000</v>
      </c>
      <c r="E18" s="7">
        <f t="shared" ca="1" si="3"/>
        <v>0.04</v>
      </c>
      <c r="F18" s="8">
        <f t="shared" si="4"/>
        <v>225000</v>
      </c>
      <c r="G18" s="8">
        <f t="shared" si="5"/>
        <v>22500</v>
      </c>
      <c r="H18" s="5">
        <f t="shared" ca="1" si="6"/>
        <v>0.06</v>
      </c>
      <c r="I18" s="5">
        <f t="shared" ca="1" si="7"/>
        <v>0.06</v>
      </c>
    </row>
    <row r="19" spans="1:9" x14ac:dyDescent="0.25">
      <c r="A19" s="9">
        <f t="shared" ca="1" si="0"/>
        <v>6157187.5</v>
      </c>
      <c r="B19" s="9">
        <f t="shared" ca="1" si="1"/>
        <v>6155000</v>
      </c>
      <c r="C19" s="8">
        <f t="shared" ca="1" si="2"/>
        <v>246287.5</v>
      </c>
      <c r="D19" s="6">
        <f t="shared" si="8"/>
        <v>475000</v>
      </c>
      <c r="E19" s="7">
        <f t="shared" ca="1" si="3"/>
        <v>0.03</v>
      </c>
      <c r="F19" s="8">
        <f t="shared" si="4"/>
        <v>237500</v>
      </c>
      <c r="G19" s="8">
        <f t="shared" si="5"/>
        <v>23750</v>
      </c>
      <c r="H19" s="5">
        <f t="shared" ca="1" si="6"/>
        <v>0.04</v>
      </c>
      <c r="I19" s="5">
        <f t="shared" ca="1" si="7"/>
        <v>4.0014216084484161E-2</v>
      </c>
    </row>
    <row r="20" spans="1:9" x14ac:dyDescent="0.25">
      <c r="A20" s="9">
        <f t="shared" ca="1" si="0"/>
        <v>4233333.333333334</v>
      </c>
      <c r="B20" s="9">
        <f t="shared" ca="1" si="1"/>
        <v>4230000</v>
      </c>
      <c r="C20" s="8">
        <f t="shared" ca="1" si="2"/>
        <v>254000</v>
      </c>
      <c r="D20" s="6">
        <f t="shared" si="8"/>
        <v>500000</v>
      </c>
      <c r="E20" s="7">
        <f t="shared" ca="1" si="3"/>
        <v>0.04</v>
      </c>
      <c r="F20" s="8">
        <f t="shared" si="4"/>
        <v>250000</v>
      </c>
      <c r="G20" s="8">
        <f t="shared" si="5"/>
        <v>25000</v>
      </c>
      <c r="H20" s="5">
        <f t="shared" ca="1" si="6"/>
        <v>0.06</v>
      </c>
      <c r="I20" s="5">
        <f t="shared" ca="1" si="7"/>
        <v>6.0047281323877072E-2</v>
      </c>
    </row>
    <row r="21" spans="1:9" x14ac:dyDescent="0.25">
      <c r="A21" s="9">
        <f t="shared" ca="1" si="0"/>
        <v>6667500</v>
      </c>
      <c r="B21" s="9">
        <f t="shared" ca="1" si="1"/>
        <v>6665000</v>
      </c>
      <c r="C21" s="8">
        <f t="shared" ca="1" si="2"/>
        <v>266700</v>
      </c>
      <c r="D21" s="6">
        <f t="shared" si="8"/>
        <v>525000</v>
      </c>
      <c r="E21" s="7">
        <f t="shared" ca="1" si="3"/>
        <v>0.04</v>
      </c>
      <c r="F21" s="8">
        <f t="shared" si="4"/>
        <v>262500</v>
      </c>
      <c r="G21" s="8">
        <f t="shared" si="5"/>
        <v>26250</v>
      </c>
      <c r="H21" s="5">
        <f t="shared" ca="1" si="6"/>
        <v>0.04</v>
      </c>
      <c r="I21" s="5">
        <f t="shared" ca="1" si="7"/>
        <v>4.0015003750937736E-2</v>
      </c>
    </row>
    <row r="22" spans="1:9" x14ac:dyDescent="0.25">
      <c r="A22" s="9">
        <f t="shared" ca="1" si="0"/>
        <v>4752916.666666667</v>
      </c>
      <c r="B22" s="9">
        <f t="shared" ca="1" si="1"/>
        <v>4750000</v>
      </c>
      <c r="C22" s="8">
        <f t="shared" ca="1" si="2"/>
        <v>285175</v>
      </c>
      <c r="D22" s="6">
        <f t="shared" si="8"/>
        <v>550000</v>
      </c>
      <c r="E22" s="7">
        <f t="shared" ca="1" si="3"/>
        <v>0.03</v>
      </c>
      <c r="F22" s="8">
        <f t="shared" si="4"/>
        <v>275000</v>
      </c>
      <c r="G22" s="8">
        <f t="shared" si="5"/>
        <v>27500</v>
      </c>
      <c r="H22" s="5">
        <f t="shared" ca="1" si="6"/>
        <v>0.06</v>
      </c>
      <c r="I22" s="5">
        <f t="shared" ca="1" si="7"/>
        <v>6.0036842105263159E-2</v>
      </c>
    </row>
    <row r="24" spans="1:9" x14ac:dyDescent="0.25">
      <c r="A24" s="4"/>
      <c r="B24" s="4"/>
      <c r="C24" s="4"/>
      <c r="D24" s="4"/>
      <c r="E24" s="3"/>
      <c r="F24" s="4"/>
      <c r="G24" s="4"/>
      <c r="H24" s="3"/>
      <c r="I24" s="3"/>
    </row>
  </sheetData>
  <mergeCells count="1">
    <mergeCell ref="N8:Q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Tesla</dc:creator>
  <cp:lastModifiedBy>Tesla</cp:lastModifiedBy>
  <dcterms:created xsi:type="dcterms:W3CDTF">2020-06-03T21:26:23Z</dcterms:created>
  <dcterms:modified xsi:type="dcterms:W3CDTF">2020-06-03T21:43:51Z</dcterms:modified>
</cp:coreProperties>
</file>